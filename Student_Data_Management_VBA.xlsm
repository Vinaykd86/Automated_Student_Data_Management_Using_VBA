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Resume_Projects\Student Data management\"/>
    </mc:Choice>
  </mc:AlternateContent>
  <xr:revisionPtr revIDLastSave="0" documentId="13_ncr:1_{6209B560-BA03-434F-AAFE-160F51EF7DD3}" xr6:coauthVersionLast="47" xr6:coauthVersionMax="47" xr10:uidLastSave="{00000000-0000-0000-0000-000000000000}"/>
  <bookViews>
    <workbookView xWindow="-109" yWindow="-109" windowWidth="26301" windowHeight="14169" activeTab="1" xr2:uid="{ACECFFED-6237-43B1-AE9F-F332C3E5C080}"/>
  </bookViews>
  <sheets>
    <sheet name="Performance_Tracker" sheetId="1" r:id="rId1"/>
    <sheet name="Grade_Report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" l="1" a="1"/>
  <c r="B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<sst xmlns="http://schemas.openxmlformats.org/spreadsheetml/2006/main" count="34" uniqueCount="28">
  <si>
    <t>Sudent ID</t>
  </si>
  <si>
    <t>First name</t>
  </si>
  <si>
    <t xml:space="preserve">Last name </t>
  </si>
  <si>
    <t>Gender</t>
  </si>
  <si>
    <t>Date of Birth</t>
  </si>
  <si>
    <t>Age</t>
  </si>
  <si>
    <t>Class</t>
  </si>
  <si>
    <t>Maths</t>
  </si>
  <si>
    <t>Science</t>
  </si>
  <si>
    <t>English</t>
  </si>
  <si>
    <t>Present Days</t>
  </si>
  <si>
    <t>Total Days</t>
  </si>
  <si>
    <t>Total Marks</t>
  </si>
  <si>
    <t>Attendence</t>
  </si>
  <si>
    <t>Grade</t>
  </si>
  <si>
    <t>A</t>
  </si>
  <si>
    <t>B</t>
  </si>
  <si>
    <t>Count</t>
  </si>
  <si>
    <t>A+</t>
  </si>
  <si>
    <t>C</t>
  </si>
  <si>
    <t>F</t>
  </si>
  <si>
    <t>Kumar</t>
  </si>
  <si>
    <t>Vinay</t>
  </si>
  <si>
    <t>Male</t>
  </si>
  <si>
    <t>Dimple</t>
  </si>
  <si>
    <t>Kapoor</t>
  </si>
  <si>
    <t>Female</t>
  </si>
  <si>
    <t>Sanchit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</si>
</sst>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0" fillId="0" borderId="1" xfId="0" applyBorder="1"/>
    <xf numFmtId="14" fontId="0" fillId="0" borderId="1" xfId="0" applyNumberFormat="1" applyBorder="1"/>
    <xf numFmtId="0" fontId="0" fillId="0" borderId="1" xfId="0" applyBorder="1" applyAlignment="1">
      <alignment vertical="center" wrapText="1"/>
    </xf>
    <xf numFmtId="0" fontId="2" fillId="2" borderId="1" xfId="0" applyFont="1" applyFill="1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Grade Distribution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3"/>
            <c:bubble3D val="0"/>
            <c:spPr>
              <a:solidFill>
                <a:schemeClr val="accent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69E8-4CCD-9D6F-DEFB30921ED5}"/>
              </c:ext>
            </c:extLst>
          </c:dPt>
          <c:dPt>
            <c:idx val="4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69E8-4CCD-9D6F-DEFB30921ED5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Grade_Report!$A$2:$A$6</c:f>
              <c:strCache>
                <c:ptCount val="5"/>
                <c:pt idx="0">
                  <c:v>A+</c:v>
                </c:pt>
                <c:pt idx="1">
                  <c:v>A</c:v>
                </c:pt>
                <c:pt idx="2">
                  <c:v>B</c:v>
                </c:pt>
                <c:pt idx="3">
                  <c:v>C</c:v>
                </c:pt>
                <c:pt idx="4">
                  <c:v>F</c:v>
                </c:pt>
              </c:strCache>
            </c:strRef>
          </c:cat>
          <c:val>
            <c:numRef>
              <c:f>Grade_Report!$B$2:$B$6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8-4CCD-9D6F-DEFB30921ED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77638</xdr:colOff>
          <xdr:row>1</xdr:row>
          <xdr:rowOff>17253</xdr:rowOff>
        </xdr:from>
        <xdr:to>
          <xdr:col>17</xdr:col>
          <xdr:colOff>595223</xdr:colOff>
          <xdr:row>3</xdr:row>
          <xdr:rowOff>25879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2F133405-41A5-9484-64DE-72D11E8BB8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560717</xdr:colOff>
          <xdr:row>1</xdr:row>
          <xdr:rowOff>86264</xdr:rowOff>
        </xdr:from>
        <xdr:to>
          <xdr:col>4</xdr:col>
          <xdr:colOff>603849</xdr:colOff>
          <xdr:row>3</xdr:row>
          <xdr:rowOff>103517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Grade Chart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281317</xdr:colOff>
      <xdr:row>0</xdr:row>
      <xdr:rowOff>151921</xdr:rowOff>
    </xdr:from>
    <xdr:to>
      <xdr:col>12</xdr:col>
      <xdr:colOff>241539</xdr:colOff>
      <xdr:row>17</xdr:row>
      <xdr:rowOff>34506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D5104D7-FB69-DE83-986D-7406A34321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C3646-4335-42DA-8076-DFE28FFFB263}">
  <sheetPr codeName="Sheet1"/>
  <dimension ref="A1:O30"/>
  <sheetViews>
    <sheetView workbookViewId="0">
      <selection activeCell="R11" sqref="R11"/>
    </sheetView>
  </sheetViews>
  <sheetFormatPr defaultRowHeight="14.3" x14ac:dyDescent="0.25"/>
  <cols>
    <col min="1" max="1" width="10.375" bestFit="1" customWidth="1"/>
    <col min="2" max="2" width="10.875" bestFit="1" customWidth="1"/>
    <col min="3" max="3" width="11.25" bestFit="1" customWidth="1"/>
    <col min="4" max="4" width="8" bestFit="1" customWidth="1"/>
    <col min="5" max="5" width="13" bestFit="1" customWidth="1"/>
    <col min="6" max="6" width="4.75" bestFit="1" customWidth="1"/>
    <col min="7" max="7" width="5.75" bestFit="1" customWidth="1"/>
    <col min="8" max="8" width="7.125" bestFit="1" customWidth="1"/>
    <col min="9" max="9" width="8.25" bestFit="1" customWidth="1"/>
    <col min="10" max="10" width="7.75" bestFit="1" customWidth="1"/>
    <col min="11" max="11" width="13.375" bestFit="1" customWidth="1"/>
    <col min="12" max="12" width="10.875" bestFit="1" customWidth="1"/>
    <col min="13" max="13" width="12.25" bestFit="1" customWidth="1"/>
    <col min="14" max="14" width="12.125" bestFit="1" customWidth="1"/>
    <col min="15" max="15" width="6.75" bestFit="1" customWidth="1"/>
  </cols>
  <sheetData>
    <row r="1" spans="1:15" ht="16.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2" t="s">
        <v>12</v>
      </c>
      <c r="N1" s="2" t="s">
        <v>13</v>
      </c>
      <c r="O1" s="2" t="s">
        <v>14</v>
      </c>
    </row>
    <row r="2" spans="1:15" x14ac:dyDescent="0.25">
      <c r="A2" s="3">
        <v>1</v>
      </c>
      <c r="B2" s="3" t="s">
        <v>22</v>
      </c>
      <c r="C2" s="4" t="s">
        <v>21</v>
      </c>
      <c r="D2" s="3" t="s">
        <v>23</v>
      </c>
      <c r="E2" s="4">
        <v>40589</v>
      </c>
      <c r="F2" s="3">
        <v>14</v>
      </c>
      <c r="G2" s="3">
        <v>10</v>
      </c>
      <c r="H2" s="3">
        <v>14</v>
      </c>
      <c r="I2" s="3">
        <v>60</v>
      </c>
      <c r="J2" s="3">
        <v>80</v>
      </c>
      <c r="K2" s="3">
        <v>210</v>
      </c>
      <c r="L2" s="3">
        <v>300</v>
      </c>
      <c r="M2" s="3">
        <v>154</v>
      </c>
      <c r="N2" s="3">
        <v>51.33</v>
      </c>
      <c r="O2" s="3" t="s">
        <v>19</v>
      </c>
    </row>
    <row r="3" spans="1:15" x14ac:dyDescent="0.25">
      <c r="A3" s="3">
        <v>2</v>
      </c>
      <c r="B3" s="3" t="s">
        <v>24</v>
      </c>
      <c r="C3" s="3" t="s">
        <v>25</v>
      </c>
      <c r="D3" s="3" t="s">
        <v>26</v>
      </c>
      <c r="E3" s="4">
        <v>40831</v>
      </c>
      <c r="F3" s="3">
        <v>13</v>
      </c>
      <c r="G3" s="3">
        <v>10</v>
      </c>
      <c r="H3" s="3">
        <v>13</v>
      </c>
      <c r="I3" s="3">
        <v>80</v>
      </c>
      <c r="J3" s="3">
        <v>60</v>
      </c>
      <c r="K3" s="3">
        <v>220</v>
      </c>
      <c r="L3" s="3">
        <v>300</v>
      </c>
      <c r="M3" s="3">
        <v>153</v>
      </c>
      <c r="N3" s="3">
        <v>51</v>
      </c>
      <c r="O3" s="3" t="s">
        <v>19</v>
      </c>
    </row>
    <row r="4" spans="1:15" x14ac:dyDescent="0.25">
      <c r="A4" s="3">
        <v>3</v>
      </c>
      <c r="B4" s="3" t="s">
        <v>27</v>
      </c>
      <c r="C4" s="3" t="s">
        <v>21</v>
      </c>
      <c r="D4" s="3" t="s">
        <v>23</v>
      </c>
      <c r="E4" s="4">
        <v>40308</v>
      </c>
      <c r="F4" s="3">
        <v>13</v>
      </c>
      <c r="G4" s="3">
        <v>10</v>
      </c>
      <c r="H4" s="3">
        <v>13</v>
      </c>
      <c r="I4" s="3">
        <v>50</v>
      </c>
      <c r="J4" s="3">
        <v>50</v>
      </c>
      <c r="K4" s="3">
        <v>120</v>
      </c>
      <c r="L4" s="3">
        <v>300</v>
      </c>
      <c r="M4" s="3">
        <v>113</v>
      </c>
      <c r="N4" s="3">
        <v>37.67</v>
      </c>
      <c r="O4" s="3" t="s">
        <v>20</v>
      </c>
    </row>
    <row r="5" spans="1:15" x14ac:dyDescent="0.25">
      <c r="A5" s="3"/>
      <c r="B5" s="3"/>
      <c r="C5" s="3"/>
      <c r="D5" s="3"/>
      <c r="E5" s="4"/>
      <c r="F5" s="3"/>
      <c r="G5" s="3"/>
      <c r="H5" s="3"/>
      <c r="I5" s="3"/>
      <c r="J5" s="3"/>
      <c r="K5" s="3"/>
      <c r="L5" s="3"/>
      <c r="M5" s="3"/>
      <c r="N5" s="3"/>
      <c r="O5" s="3"/>
    </row>
    <row r="6" spans="1:15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</row>
    <row r="7" spans="1:15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</row>
    <row r="8" spans="1:15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</row>
    <row r="9" spans="1:15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</row>
    <row r="10" spans="1:15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</row>
    <row r="11" spans="1:15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</row>
    <row r="12" spans="1:15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</row>
    <row r="13" spans="1:15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</row>
    <row r="14" spans="1:15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</row>
    <row r="15" spans="1:15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</row>
    <row r="16" spans="1:15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</row>
    <row r="17" spans="1:15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</row>
    <row r="18" spans="1:15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</row>
    <row r="19" spans="1:15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</row>
    <row r="20" spans="1:15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</row>
    <row r="21" spans="1:15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</row>
    <row r="22" spans="1:15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</row>
    <row r="23" spans="1:15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</row>
    <row r="24" spans="1:15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</row>
    <row r="25" spans="1:15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</row>
    <row r="26" spans="1:15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</row>
    <row r="27" spans="1:15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</row>
    <row r="28" spans="1:15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</row>
    <row r="29" spans="1:15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</row>
    <row r="30" spans="1:15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Lauch_StudentUserform">
                <anchor moveWithCells="1" sizeWithCells="1">
                  <from>
                    <xdr:col>16</xdr:col>
                    <xdr:colOff>77638</xdr:colOff>
                    <xdr:row>1</xdr:row>
                    <xdr:rowOff>17253</xdr:rowOff>
                  </from>
                  <to>
                    <xdr:col>17</xdr:col>
                    <xdr:colOff>595223</xdr:colOff>
                    <xdr:row>3</xdr:row>
                    <xdr:rowOff>25879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92F70-66F0-48E2-A0C4-A4D391078E5E}">
  <sheetPr codeName="Sheet2"/>
  <dimension ref="A1:B6"/>
  <sheetViews>
    <sheetView tabSelected="1" workbookViewId="0">
      <selection activeCell="L23" sqref="L23"/>
    </sheetView>
  </sheetViews>
  <sheetFormatPr defaultRowHeight="14.3" x14ac:dyDescent="0.25"/>
  <sheetData>
    <row r="1" spans="1:2" x14ac:dyDescent="0.25">
      <c r="A1" s="6" t="s">
        <v>14</v>
      </c>
      <c r="B1" s="6" t="s">
        <v>17</v>
      </c>
    </row>
    <row r="2" spans="1:2" x14ac:dyDescent="0.25">
      <c r="A2" s="5" t="s">
        <v>18</v>
      </c>
      <c r="B2" s="5" cm="1">
        <f t="array" ref="B2:B6">COUNTIF(Performance_Tracker!$A$1:$O$30,Grade_Report!A2:A6)</f>
        <v>0</v>
      </c>
    </row>
    <row r="3" spans="1:2" x14ac:dyDescent="0.25">
      <c r="A3" s="5" t="s">
        <v>15</v>
      </c>
      <c r="B3" s="5">
        <v>0</v>
      </c>
    </row>
    <row r="4" spans="1:2" x14ac:dyDescent="0.25">
      <c r="A4" s="5" t="s">
        <v>16</v>
      </c>
      <c r="B4" s="5">
        <v>0</v>
      </c>
    </row>
    <row r="5" spans="1:2" x14ac:dyDescent="0.25">
      <c r="A5" s="5" t="s">
        <v>19</v>
      </c>
      <c r="B5" s="5">
        <v>2</v>
      </c>
    </row>
    <row r="6" spans="1:2" x14ac:dyDescent="0.25">
      <c r="A6" s="5" t="s">
        <v>20</v>
      </c>
      <c r="B6" s="5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reateGradeChart">
                <anchor moveWithCells="1" sizeWithCells="1">
                  <from>
                    <xdr:col>2</xdr:col>
                    <xdr:colOff>560717</xdr:colOff>
                    <xdr:row>1</xdr:row>
                    <xdr:rowOff>86264</xdr:rowOff>
                  </from>
                  <to>
                    <xdr:col>4</xdr:col>
                    <xdr:colOff>603849</xdr:colOff>
                    <xdr:row>3</xdr:row>
                    <xdr:rowOff>103517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Performance_Tracker</vt:lpstr>
      <vt:lpstr>Grade_Report</vt:lpstr>
    </vt:vector>
  </TitlesOfParts>
  <Company>vinay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vinay kumar</dc:creator>
  <cp:lastModifiedBy>vinay kumar</cp:lastModifiedBy>
  <dcterms:created xsi:type="dcterms:W3CDTF">2025-07-31T12:32:00Z</dcterms:created>
  <dcterms:modified xsi:type="dcterms:W3CDTF">2025-07-31T13:07:32Z</dcterms:modified>
</cp:coreProperties>
</file>